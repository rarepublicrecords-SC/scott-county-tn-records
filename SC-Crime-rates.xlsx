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_rels/chart2.xml.rels" ContentType="application/vnd.openxmlformats-package.relationships+xml"/>
  <Override PartName="/xl/charts/chart2.xml" ContentType="application/vnd.openxmlformats-officedocument.drawingml.chart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Sheet1!$A$1:$F$91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<sst xmlns="http://schemas.openxmlformats.org/spreadsheetml/2006/main" count="96" uniqueCount="12">
  <si>
    <t xml:space="preserve">Year</t>
  </si>
  <si>
    <t xml:space="preserve">Type</t>
  </si>
  <si>
    <t xml:space="preserve">Rate</t>
  </si>
  <si>
    <t xml:space="preserve">Cases</t>
  </si>
  <si>
    <t xml:space="preserve">Case Change</t>
  </si>
  <si>
    <t xml:space="preserve">DUI</t>
  </si>
  <si>
    <t xml:space="preserve">Drug/Narcotic</t>
  </si>
  <si>
    <t xml:space="preserve">AA</t>
  </si>
  <si>
    <t xml:space="preserve">Sex Offenses</t>
  </si>
  <si>
    <t xml:space="preserve">Burglary</t>
  </si>
  <si>
    <t xml:space="preserve">DV</t>
  </si>
  <si>
    <r>
      <rPr>
        <sz val="10"/>
        <rFont val="Arial"/>
        <family val="2"/>
      </rPr>
      <t xml:space="preserve">Sourced from: </t>
    </r>
    <r>
      <rPr>
        <sz val="10"/>
        <color rgb="FF0000FF"/>
        <rFont val="Arial"/>
        <family val="2"/>
      </rPr>
      <t xml:space="preserve">https://crimeinsight.tbi.tn.gov/tops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</si>
</sst>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sz val="13"/>
      <name val="Arial"/>
      <family val="2"/>
    </font>
    <font>
      <sz val="8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A933"/>
        <bgColor rgb="FF008080"/>
      </patternFill>
    </fill>
    <fill>
      <patternFill patternType="solid">
        <fgColor rgb="FF729FCF"/>
        <bgColor rgb="FF808080"/>
      </patternFill>
    </fill>
    <fill>
      <patternFill patternType="solid">
        <fgColor rgb="FF2A6099"/>
        <bgColor rgb="FF666699"/>
      </patternFill>
    </fill>
    <fill>
      <patternFill patternType="solid">
        <fgColor rgb="FFFFE994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B4C7DC"/>
        <bgColor rgb="FFB3CAC7"/>
      </patternFill>
    </fill>
    <fill>
      <patternFill patternType="solid">
        <fgColor rgb="FFFFFF00"/>
        <bgColor rgb="FFFFFF00"/>
      </patternFill>
    </fill>
    <fill>
      <patternFill patternType="solid">
        <fgColor rgb="FFD4EA6B"/>
        <bgColor rgb="FFFFE994"/>
      </patternFill>
    </fill>
    <fill>
      <patternFill patternType="solid">
        <fgColor rgb="FFAFD095"/>
        <bgColor rgb="FFB3CAC7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false" applyBorder="false" applyAlignment="false" applyProtection="false"/>
    <xf numFmtId="164" fontId="0" fillId="3" borderId="0" applyFont="false" applyBorder="false" applyAlignment="false" applyProtection="false"/>
    <xf numFmtId="164" fontId="0" fillId="4" borderId="0" applyFont="fals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gRed" xfId="20"/>
    <cellStyle name="PosGre" xfId="21"/>
    <cellStyle name="Untitled1" xfId="22"/>
  </cellStyles>
  <dxfs count="12">
    <dxf>
      <fill>
        <patternFill patternType="solid">
          <fgColor rgb="FF2A6099"/>
        </patternFill>
      </fill>
    </dxf>
    <dxf>
      <fill>
        <patternFill patternType="solid">
          <fgColor rgb="FF729FCF"/>
        </patternFill>
      </fill>
    </dxf>
    <dxf>
      <fill>
        <patternFill patternType="solid">
          <fgColor rgb="FFD4EA6B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AFD095"/>
        </patternFill>
      </fill>
    </dxf>
    <dxf>
      <fill>
        <patternFill patternType="solid">
          <fgColor rgb="FFBF819E"/>
        </patternFill>
      </fill>
    </dxf>
    <dxf>
      <fill>
        <patternFill patternType="solid">
          <fgColor rgb="FF00A933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B4C7DC"/>
        </patternFill>
      </fill>
    </dxf>
    <dxf>
      <fill>
        <patternFill>
          <bgColor rgb="FF00A933"/>
        </patternFill>
      </fill>
    </dxf>
    <dxf>
      <fill>
        <patternFill>
          <bgColor rgb="FFFF0000"/>
        </patternFill>
      </fill>
    </dxf>
    <dxf>
      <fill>
        <patternFill>
          <bgColor rgb="FF729F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A933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E994"/>
      <rgbColor rgb="FFB3B3B3"/>
      <rgbColor rgb="FFFF99CC"/>
      <rgbColor rgb="FFCC99FF"/>
      <rgbColor rgb="FFD4EA6B"/>
      <rgbColor rgb="FF3366FF"/>
      <rgbColor rgb="FF33CCCC"/>
      <rgbColor rgb="FFAFD095"/>
      <rgbColor rgb="FFFFD320"/>
      <rgbColor rgb="FFFF9900"/>
      <rgbColor rgb="FFFF6600"/>
      <rgbColor rgb="FF666699"/>
      <rgbColor rgb="FFBF819E"/>
      <rgbColor rgb="FF00336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Scott County Crime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cases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Sheet1!$A$2:$A$91</c:f>
              <c:strCache>
                <c:ptCount val="9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  <c:pt idx="34">
                  <c:v>2015</c:v>
                </c:pt>
                <c:pt idx="35">
                  <c:v>2015</c:v>
                </c:pt>
                <c:pt idx="36">
                  <c:v>2016</c:v>
                </c:pt>
                <c:pt idx="37">
                  <c:v>2016</c:v>
                </c:pt>
                <c:pt idx="38">
                  <c:v>2016</c:v>
                </c:pt>
                <c:pt idx="39">
                  <c:v>2016</c:v>
                </c:pt>
                <c:pt idx="40">
                  <c:v>2016</c:v>
                </c:pt>
                <c:pt idx="41">
                  <c:v>2016</c:v>
                </c:pt>
                <c:pt idx="42">
                  <c:v>2017</c:v>
                </c:pt>
                <c:pt idx="43">
                  <c:v>2017</c:v>
                </c:pt>
                <c:pt idx="44">
                  <c:v>2017</c:v>
                </c:pt>
                <c:pt idx="45">
                  <c:v>2017</c:v>
                </c:pt>
                <c:pt idx="46">
                  <c:v>2017</c:v>
                </c:pt>
                <c:pt idx="47">
                  <c:v>2017</c:v>
                </c:pt>
                <c:pt idx="48">
                  <c:v>2018</c:v>
                </c:pt>
                <c:pt idx="49">
                  <c:v>2018</c:v>
                </c:pt>
                <c:pt idx="50">
                  <c:v>2018</c:v>
                </c:pt>
                <c:pt idx="51">
                  <c:v>2018</c:v>
                </c:pt>
                <c:pt idx="52">
                  <c:v>2018</c:v>
                </c:pt>
                <c:pt idx="53">
                  <c:v>2018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2019</c:v>
                </c:pt>
                <c:pt idx="59">
                  <c:v>2019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2021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2022</c:v>
                </c:pt>
                <c:pt idx="73">
                  <c:v>2022</c:v>
                </c:pt>
                <c:pt idx="74">
                  <c:v>2022</c:v>
                </c:pt>
                <c:pt idx="75">
                  <c:v>2022</c:v>
                </c:pt>
                <c:pt idx="76">
                  <c:v>2022</c:v>
                </c:pt>
                <c:pt idx="77">
                  <c:v>2022</c:v>
                </c:pt>
                <c:pt idx="78">
                  <c:v>2023</c:v>
                </c:pt>
                <c:pt idx="79">
                  <c:v>2023</c:v>
                </c:pt>
                <c:pt idx="80">
                  <c:v>2023</c:v>
                </c:pt>
                <c:pt idx="81">
                  <c:v>2023</c:v>
                </c:pt>
                <c:pt idx="82">
                  <c:v>2023</c:v>
                </c:pt>
                <c:pt idx="83">
                  <c:v>2023</c:v>
                </c:pt>
                <c:pt idx="84">
                  <c:v>2024</c:v>
                </c:pt>
                <c:pt idx="85">
                  <c:v>2024</c:v>
                </c:pt>
                <c:pt idx="86">
                  <c:v>2024</c:v>
                </c:pt>
                <c:pt idx="87">
                  <c:v>2024</c:v>
                </c:pt>
                <c:pt idx="88">
                  <c:v>2024</c:v>
                </c:pt>
                <c:pt idx="89">
                  <c:v>2024</c:v>
                </c:pt>
              </c:strCache>
            </c:strRef>
          </c:cat>
          <c:val>
            <c:numRef>
              <c:f>Sheet1!$D$2:$D$91</c:f>
              <c:numCache>
                <c:formatCode>General</c:formatCode>
                <c:ptCount val="90"/>
                <c:pt idx="0">
                  <c:v>53</c:v>
                </c:pt>
                <c:pt idx="1">
                  <c:v>133</c:v>
                </c:pt>
                <c:pt idx="2">
                  <c:v>74</c:v>
                </c:pt>
                <c:pt idx="3">
                  <c:v>13</c:v>
                </c:pt>
                <c:pt idx="4">
                  <c:v>285</c:v>
                </c:pt>
                <c:pt idx="5">
                  <c:v>155</c:v>
                </c:pt>
                <c:pt idx="6">
                  <c:v>34</c:v>
                </c:pt>
                <c:pt idx="7">
                  <c:v>137</c:v>
                </c:pt>
                <c:pt idx="8">
                  <c:v>23</c:v>
                </c:pt>
                <c:pt idx="9">
                  <c:v>8</c:v>
                </c:pt>
                <c:pt idx="10">
                  <c:v>225</c:v>
                </c:pt>
                <c:pt idx="11">
                  <c:v>114</c:v>
                </c:pt>
                <c:pt idx="12">
                  <c:v>34</c:v>
                </c:pt>
                <c:pt idx="13">
                  <c:v>96</c:v>
                </c:pt>
                <c:pt idx="14">
                  <c:v>27</c:v>
                </c:pt>
                <c:pt idx="15">
                  <c:v>10</c:v>
                </c:pt>
                <c:pt idx="16">
                  <c:v>136</c:v>
                </c:pt>
                <c:pt idx="17">
                  <c:v>98</c:v>
                </c:pt>
                <c:pt idx="18">
                  <c:v>38</c:v>
                </c:pt>
                <c:pt idx="19">
                  <c:v>135</c:v>
                </c:pt>
                <c:pt idx="20">
                  <c:v>33</c:v>
                </c:pt>
                <c:pt idx="21">
                  <c:v>8</c:v>
                </c:pt>
                <c:pt idx="22">
                  <c:v>82</c:v>
                </c:pt>
                <c:pt idx="23">
                  <c:v>72</c:v>
                </c:pt>
                <c:pt idx="24">
                  <c:v>35</c:v>
                </c:pt>
                <c:pt idx="25">
                  <c:v>121</c:v>
                </c:pt>
                <c:pt idx="26">
                  <c:v>27</c:v>
                </c:pt>
                <c:pt idx="27">
                  <c:v>7</c:v>
                </c:pt>
                <c:pt idx="28">
                  <c:v>53</c:v>
                </c:pt>
                <c:pt idx="29">
                  <c:v>70</c:v>
                </c:pt>
                <c:pt idx="30">
                  <c:v>44</c:v>
                </c:pt>
                <c:pt idx="31">
                  <c:v>133</c:v>
                </c:pt>
                <c:pt idx="32">
                  <c:v>42</c:v>
                </c:pt>
                <c:pt idx="33">
                  <c:v>7</c:v>
                </c:pt>
                <c:pt idx="34">
                  <c:v>78</c:v>
                </c:pt>
                <c:pt idx="35">
                  <c:v>67</c:v>
                </c:pt>
                <c:pt idx="36">
                  <c:v>35</c:v>
                </c:pt>
                <c:pt idx="37">
                  <c:v>141</c:v>
                </c:pt>
                <c:pt idx="38">
                  <c:v>34</c:v>
                </c:pt>
                <c:pt idx="39">
                  <c:v>5</c:v>
                </c:pt>
                <c:pt idx="40">
                  <c:v>78</c:v>
                </c:pt>
                <c:pt idx="41">
                  <c:v>60</c:v>
                </c:pt>
                <c:pt idx="42">
                  <c:v>17</c:v>
                </c:pt>
                <c:pt idx="43">
                  <c:v>107</c:v>
                </c:pt>
                <c:pt idx="44">
                  <c:v>32</c:v>
                </c:pt>
                <c:pt idx="45">
                  <c:v>3</c:v>
                </c:pt>
                <c:pt idx="46">
                  <c:v>66</c:v>
                </c:pt>
                <c:pt idx="47">
                  <c:v>56</c:v>
                </c:pt>
                <c:pt idx="48">
                  <c:v>18</c:v>
                </c:pt>
                <c:pt idx="49">
                  <c:v>102</c:v>
                </c:pt>
                <c:pt idx="50">
                  <c:v>10</c:v>
                </c:pt>
                <c:pt idx="51">
                  <c:v>0</c:v>
                </c:pt>
                <c:pt idx="52">
                  <c:v>48</c:v>
                </c:pt>
                <c:pt idx="53">
                  <c:v>54</c:v>
                </c:pt>
                <c:pt idx="54">
                  <c:v>7</c:v>
                </c:pt>
                <c:pt idx="55">
                  <c:v>87</c:v>
                </c:pt>
                <c:pt idx="56">
                  <c:v>23</c:v>
                </c:pt>
                <c:pt idx="57">
                  <c:v>3</c:v>
                </c:pt>
                <c:pt idx="58">
                  <c:v>104</c:v>
                </c:pt>
                <c:pt idx="59">
                  <c:v>58</c:v>
                </c:pt>
                <c:pt idx="60">
                  <c:v>3</c:v>
                </c:pt>
                <c:pt idx="61">
                  <c:v>41</c:v>
                </c:pt>
                <c:pt idx="62">
                  <c:v>36</c:v>
                </c:pt>
                <c:pt idx="63">
                  <c:v>5</c:v>
                </c:pt>
                <c:pt idx="64">
                  <c:v>88</c:v>
                </c:pt>
                <c:pt idx="65">
                  <c:v>76</c:v>
                </c:pt>
                <c:pt idx="66">
                  <c:v>13</c:v>
                </c:pt>
                <c:pt idx="67">
                  <c:v>58</c:v>
                </c:pt>
                <c:pt idx="68">
                  <c:v>15</c:v>
                </c:pt>
                <c:pt idx="69">
                  <c:v>1</c:v>
                </c:pt>
                <c:pt idx="70">
                  <c:v>74</c:v>
                </c:pt>
                <c:pt idx="71">
                  <c:v>62</c:v>
                </c:pt>
                <c:pt idx="72">
                  <c:v>13</c:v>
                </c:pt>
                <c:pt idx="73">
                  <c:v>46</c:v>
                </c:pt>
                <c:pt idx="74">
                  <c:v>7</c:v>
                </c:pt>
                <c:pt idx="75">
                  <c:v>1</c:v>
                </c:pt>
                <c:pt idx="76">
                  <c:v>41</c:v>
                </c:pt>
                <c:pt idx="77">
                  <c:v>41</c:v>
                </c:pt>
                <c:pt idx="78">
                  <c:v>20</c:v>
                </c:pt>
                <c:pt idx="79">
                  <c:v>63</c:v>
                </c:pt>
                <c:pt idx="80">
                  <c:v>39</c:v>
                </c:pt>
                <c:pt idx="81">
                  <c:v>0</c:v>
                </c:pt>
                <c:pt idx="82">
                  <c:v>24</c:v>
                </c:pt>
                <c:pt idx="83">
                  <c:v>63</c:v>
                </c:pt>
                <c:pt idx="84">
                  <c:v>18</c:v>
                </c:pt>
                <c:pt idx="85">
                  <c:v>55</c:v>
                </c:pt>
                <c:pt idx="86">
                  <c:v>28</c:v>
                </c:pt>
                <c:pt idx="87">
                  <c:v>2</c:v>
                </c:pt>
                <c:pt idx="88">
                  <c:v>10</c:v>
                </c:pt>
                <c:pt idx="89">
                  <c:v>64</c:v>
                </c:pt>
              </c:numCache>
            </c:numRef>
          </c:val>
        </c:ser>
        <c:gapWidth val="100"/>
        <c:overlap val="0"/>
        <c:axId val="15386394"/>
        <c:axId val="21436706"/>
      </c:barChart>
      <c:lineChart>
        <c:grouping val="standard"/>
        <c:varyColors val="0"/>
        <c:ser>
          <c:idx val="1"/>
          <c:order val="1"/>
          <c:tx>
            <c:strRef>
              <c:f>change</c:f>
              <c:strCache>
                <c:ptCount val="1"/>
                <c:pt idx="0">
                  <c:v>change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Sheet1!$A$2:$A$91</c:f>
              <c:strCache>
                <c:ptCount val="9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  <c:pt idx="34">
                  <c:v>2015</c:v>
                </c:pt>
                <c:pt idx="35">
                  <c:v>2015</c:v>
                </c:pt>
                <c:pt idx="36">
                  <c:v>2016</c:v>
                </c:pt>
                <c:pt idx="37">
                  <c:v>2016</c:v>
                </c:pt>
                <c:pt idx="38">
                  <c:v>2016</c:v>
                </c:pt>
                <c:pt idx="39">
                  <c:v>2016</c:v>
                </c:pt>
                <c:pt idx="40">
                  <c:v>2016</c:v>
                </c:pt>
                <c:pt idx="41">
                  <c:v>2016</c:v>
                </c:pt>
                <c:pt idx="42">
                  <c:v>2017</c:v>
                </c:pt>
                <c:pt idx="43">
                  <c:v>2017</c:v>
                </c:pt>
                <c:pt idx="44">
                  <c:v>2017</c:v>
                </c:pt>
                <c:pt idx="45">
                  <c:v>2017</c:v>
                </c:pt>
                <c:pt idx="46">
                  <c:v>2017</c:v>
                </c:pt>
                <c:pt idx="47">
                  <c:v>2017</c:v>
                </c:pt>
                <c:pt idx="48">
                  <c:v>2018</c:v>
                </c:pt>
                <c:pt idx="49">
                  <c:v>2018</c:v>
                </c:pt>
                <c:pt idx="50">
                  <c:v>2018</c:v>
                </c:pt>
                <c:pt idx="51">
                  <c:v>2018</c:v>
                </c:pt>
                <c:pt idx="52">
                  <c:v>2018</c:v>
                </c:pt>
                <c:pt idx="53">
                  <c:v>2018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2019</c:v>
                </c:pt>
                <c:pt idx="59">
                  <c:v>2019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2021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2022</c:v>
                </c:pt>
                <c:pt idx="73">
                  <c:v>2022</c:v>
                </c:pt>
                <c:pt idx="74">
                  <c:v>2022</c:v>
                </c:pt>
                <c:pt idx="75">
                  <c:v>2022</c:v>
                </c:pt>
                <c:pt idx="76">
                  <c:v>2022</c:v>
                </c:pt>
                <c:pt idx="77">
                  <c:v>2022</c:v>
                </c:pt>
                <c:pt idx="78">
                  <c:v>2023</c:v>
                </c:pt>
                <c:pt idx="79">
                  <c:v>2023</c:v>
                </c:pt>
                <c:pt idx="80">
                  <c:v>2023</c:v>
                </c:pt>
                <c:pt idx="81">
                  <c:v>2023</c:v>
                </c:pt>
                <c:pt idx="82">
                  <c:v>2023</c:v>
                </c:pt>
                <c:pt idx="83">
                  <c:v>2023</c:v>
                </c:pt>
                <c:pt idx="84">
                  <c:v>2024</c:v>
                </c:pt>
                <c:pt idx="85">
                  <c:v>2024</c:v>
                </c:pt>
                <c:pt idx="86">
                  <c:v>2024</c:v>
                </c:pt>
                <c:pt idx="87">
                  <c:v>2024</c:v>
                </c:pt>
                <c:pt idx="88">
                  <c:v>2024</c:v>
                </c:pt>
                <c:pt idx="89">
                  <c:v>2024</c:v>
                </c:pt>
              </c:strCache>
            </c:strRef>
          </c:cat>
          <c:val>
            <c:numRef>
              <c:f>Sheet1!$E$2:$E$91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-19</c:v>
                </c:pt>
                <c:pt idx="7">
                  <c:v>4</c:v>
                </c:pt>
                <c:pt idx="8">
                  <c:v>-51</c:v>
                </c:pt>
                <c:pt idx="9">
                  <c:v>-5</c:v>
                </c:pt>
                <c:pt idx="10">
                  <c:v>-60</c:v>
                </c:pt>
                <c:pt idx="11">
                  <c:v>-41</c:v>
                </c:pt>
                <c:pt idx="12">
                  <c:v>0</c:v>
                </c:pt>
                <c:pt idx="13">
                  <c:v>-41</c:v>
                </c:pt>
                <c:pt idx="14">
                  <c:v>4</c:v>
                </c:pt>
                <c:pt idx="15">
                  <c:v>2</c:v>
                </c:pt>
                <c:pt idx="16">
                  <c:v>-89</c:v>
                </c:pt>
                <c:pt idx="17">
                  <c:v>-16</c:v>
                </c:pt>
                <c:pt idx="18">
                  <c:v>4</c:v>
                </c:pt>
                <c:pt idx="19">
                  <c:v>39</c:v>
                </c:pt>
                <c:pt idx="20">
                  <c:v>6</c:v>
                </c:pt>
                <c:pt idx="21">
                  <c:v>-2</c:v>
                </c:pt>
                <c:pt idx="22">
                  <c:v>-54</c:v>
                </c:pt>
                <c:pt idx="23">
                  <c:v>-26</c:v>
                </c:pt>
                <c:pt idx="24">
                  <c:v>-3</c:v>
                </c:pt>
                <c:pt idx="25">
                  <c:v>-14</c:v>
                </c:pt>
                <c:pt idx="26">
                  <c:v>-6</c:v>
                </c:pt>
                <c:pt idx="27">
                  <c:v>-1</c:v>
                </c:pt>
                <c:pt idx="28">
                  <c:v>-29</c:v>
                </c:pt>
                <c:pt idx="29">
                  <c:v>-2</c:v>
                </c:pt>
                <c:pt idx="30">
                  <c:v>9</c:v>
                </c:pt>
                <c:pt idx="31">
                  <c:v>12</c:v>
                </c:pt>
                <c:pt idx="32">
                  <c:v>15</c:v>
                </c:pt>
                <c:pt idx="33">
                  <c:v>0</c:v>
                </c:pt>
                <c:pt idx="34">
                  <c:v>25</c:v>
                </c:pt>
                <c:pt idx="35">
                  <c:v>-3</c:v>
                </c:pt>
                <c:pt idx="36">
                  <c:v>-9</c:v>
                </c:pt>
                <c:pt idx="37">
                  <c:v>8</c:v>
                </c:pt>
                <c:pt idx="38">
                  <c:v>-8</c:v>
                </c:pt>
                <c:pt idx="39">
                  <c:v>-2</c:v>
                </c:pt>
                <c:pt idx="40">
                  <c:v>0</c:v>
                </c:pt>
                <c:pt idx="41">
                  <c:v>-7</c:v>
                </c:pt>
                <c:pt idx="42">
                  <c:v>-18</c:v>
                </c:pt>
                <c:pt idx="43">
                  <c:v>-34</c:v>
                </c:pt>
                <c:pt idx="44">
                  <c:v>-2</c:v>
                </c:pt>
                <c:pt idx="45">
                  <c:v>-2</c:v>
                </c:pt>
                <c:pt idx="46">
                  <c:v>-12</c:v>
                </c:pt>
                <c:pt idx="47">
                  <c:v>-4</c:v>
                </c:pt>
                <c:pt idx="48">
                  <c:v>1</c:v>
                </c:pt>
                <c:pt idx="49">
                  <c:v>-5</c:v>
                </c:pt>
                <c:pt idx="50">
                  <c:v>-22</c:v>
                </c:pt>
                <c:pt idx="51">
                  <c:v>-3</c:v>
                </c:pt>
                <c:pt idx="52">
                  <c:v>-18</c:v>
                </c:pt>
                <c:pt idx="53">
                  <c:v>-2</c:v>
                </c:pt>
                <c:pt idx="54">
                  <c:v>-11</c:v>
                </c:pt>
                <c:pt idx="55">
                  <c:v>-15</c:v>
                </c:pt>
                <c:pt idx="56">
                  <c:v>13</c:v>
                </c:pt>
                <c:pt idx="57">
                  <c:v>3</c:v>
                </c:pt>
                <c:pt idx="58">
                  <c:v>56</c:v>
                </c:pt>
                <c:pt idx="59">
                  <c:v>4</c:v>
                </c:pt>
                <c:pt idx="60">
                  <c:v>-4</c:v>
                </c:pt>
                <c:pt idx="61">
                  <c:v>-46</c:v>
                </c:pt>
                <c:pt idx="62">
                  <c:v>13</c:v>
                </c:pt>
                <c:pt idx="63">
                  <c:v>2</c:v>
                </c:pt>
                <c:pt idx="64">
                  <c:v>-16</c:v>
                </c:pt>
                <c:pt idx="65">
                  <c:v>18</c:v>
                </c:pt>
                <c:pt idx="66">
                  <c:v>10</c:v>
                </c:pt>
                <c:pt idx="67">
                  <c:v>17</c:v>
                </c:pt>
                <c:pt idx="68">
                  <c:v>-21</c:v>
                </c:pt>
                <c:pt idx="69">
                  <c:v>-4</c:v>
                </c:pt>
                <c:pt idx="70">
                  <c:v>-14</c:v>
                </c:pt>
                <c:pt idx="71">
                  <c:v>-14</c:v>
                </c:pt>
                <c:pt idx="72">
                  <c:v>0</c:v>
                </c:pt>
                <c:pt idx="73">
                  <c:v>-12</c:v>
                </c:pt>
                <c:pt idx="74">
                  <c:v>-8</c:v>
                </c:pt>
                <c:pt idx="75">
                  <c:v>0</c:v>
                </c:pt>
                <c:pt idx="76">
                  <c:v>-33</c:v>
                </c:pt>
                <c:pt idx="77">
                  <c:v>-21</c:v>
                </c:pt>
                <c:pt idx="78">
                  <c:v>7</c:v>
                </c:pt>
                <c:pt idx="79">
                  <c:v>17</c:v>
                </c:pt>
                <c:pt idx="80">
                  <c:v>32</c:v>
                </c:pt>
                <c:pt idx="81">
                  <c:v>-1</c:v>
                </c:pt>
                <c:pt idx="82">
                  <c:v>-17</c:v>
                </c:pt>
                <c:pt idx="83">
                  <c:v>22</c:v>
                </c:pt>
                <c:pt idx="84">
                  <c:v>-2</c:v>
                </c:pt>
                <c:pt idx="85">
                  <c:v>-8</c:v>
                </c:pt>
                <c:pt idx="86">
                  <c:v>-11</c:v>
                </c:pt>
                <c:pt idx="87">
                  <c:v>2</c:v>
                </c:pt>
                <c:pt idx="88">
                  <c:v>-14</c:v>
                </c:pt>
                <c:pt idx="89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rate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Sheet1!$A$2:$A$91</c:f>
              <c:strCache>
                <c:ptCount val="9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2012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2013</c:v>
                </c:pt>
                <c:pt idx="22">
                  <c:v>2013</c:v>
                </c:pt>
                <c:pt idx="23">
                  <c:v>2013</c:v>
                </c:pt>
                <c:pt idx="24">
                  <c:v>2014</c:v>
                </c:pt>
                <c:pt idx="25">
                  <c:v>2014</c:v>
                </c:pt>
                <c:pt idx="26">
                  <c:v>2014</c:v>
                </c:pt>
                <c:pt idx="27">
                  <c:v>2014</c:v>
                </c:pt>
                <c:pt idx="28">
                  <c:v>2014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  <c:pt idx="34">
                  <c:v>2015</c:v>
                </c:pt>
                <c:pt idx="35">
                  <c:v>2015</c:v>
                </c:pt>
                <c:pt idx="36">
                  <c:v>2016</c:v>
                </c:pt>
                <c:pt idx="37">
                  <c:v>2016</c:v>
                </c:pt>
                <c:pt idx="38">
                  <c:v>2016</c:v>
                </c:pt>
                <c:pt idx="39">
                  <c:v>2016</c:v>
                </c:pt>
                <c:pt idx="40">
                  <c:v>2016</c:v>
                </c:pt>
                <c:pt idx="41">
                  <c:v>2016</c:v>
                </c:pt>
                <c:pt idx="42">
                  <c:v>2017</c:v>
                </c:pt>
                <c:pt idx="43">
                  <c:v>2017</c:v>
                </c:pt>
                <c:pt idx="44">
                  <c:v>2017</c:v>
                </c:pt>
                <c:pt idx="45">
                  <c:v>2017</c:v>
                </c:pt>
                <c:pt idx="46">
                  <c:v>2017</c:v>
                </c:pt>
                <c:pt idx="47">
                  <c:v>2017</c:v>
                </c:pt>
                <c:pt idx="48">
                  <c:v>2018</c:v>
                </c:pt>
                <c:pt idx="49">
                  <c:v>2018</c:v>
                </c:pt>
                <c:pt idx="50">
                  <c:v>2018</c:v>
                </c:pt>
                <c:pt idx="51">
                  <c:v>2018</c:v>
                </c:pt>
                <c:pt idx="52">
                  <c:v>2018</c:v>
                </c:pt>
                <c:pt idx="53">
                  <c:v>2018</c:v>
                </c:pt>
                <c:pt idx="54">
                  <c:v>2019</c:v>
                </c:pt>
                <c:pt idx="55">
                  <c:v>2019</c:v>
                </c:pt>
                <c:pt idx="56">
                  <c:v>2019</c:v>
                </c:pt>
                <c:pt idx="57">
                  <c:v>2019</c:v>
                </c:pt>
                <c:pt idx="58">
                  <c:v>2019</c:v>
                </c:pt>
                <c:pt idx="59">
                  <c:v>2019</c:v>
                </c:pt>
                <c:pt idx="60">
                  <c:v>2020</c:v>
                </c:pt>
                <c:pt idx="61">
                  <c:v>2020</c:v>
                </c:pt>
                <c:pt idx="62">
                  <c:v>2020</c:v>
                </c:pt>
                <c:pt idx="63">
                  <c:v>2020</c:v>
                </c:pt>
                <c:pt idx="64">
                  <c:v>2020</c:v>
                </c:pt>
                <c:pt idx="65">
                  <c:v>2020</c:v>
                </c:pt>
                <c:pt idx="66">
                  <c:v>2021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2021</c:v>
                </c:pt>
                <c:pt idx="71">
                  <c:v>2021</c:v>
                </c:pt>
                <c:pt idx="72">
                  <c:v>2022</c:v>
                </c:pt>
                <c:pt idx="73">
                  <c:v>2022</c:v>
                </c:pt>
                <c:pt idx="74">
                  <c:v>2022</c:v>
                </c:pt>
                <c:pt idx="75">
                  <c:v>2022</c:v>
                </c:pt>
                <c:pt idx="76">
                  <c:v>2022</c:v>
                </c:pt>
                <c:pt idx="77">
                  <c:v>2022</c:v>
                </c:pt>
                <c:pt idx="78">
                  <c:v>2023</c:v>
                </c:pt>
                <c:pt idx="79">
                  <c:v>2023</c:v>
                </c:pt>
                <c:pt idx="80">
                  <c:v>2023</c:v>
                </c:pt>
                <c:pt idx="81">
                  <c:v>2023</c:v>
                </c:pt>
                <c:pt idx="82">
                  <c:v>2023</c:v>
                </c:pt>
                <c:pt idx="83">
                  <c:v>2023</c:v>
                </c:pt>
                <c:pt idx="84">
                  <c:v>2024</c:v>
                </c:pt>
                <c:pt idx="85">
                  <c:v>2024</c:v>
                </c:pt>
                <c:pt idx="86">
                  <c:v>2024</c:v>
                </c:pt>
                <c:pt idx="87">
                  <c:v>2024</c:v>
                </c:pt>
                <c:pt idx="88">
                  <c:v>2024</c:v>
                </c:pt>
                <c:pt idx="89">
                  <c:v>2024</c:v>
                </c:pt>
              </c:strCache>
            </c:strRef>
          </c:cat>
          <c:val>
            <c:numRef>
              <c:f>Sheet1!$C$2:$C$91</c:f>
              <c:numCache>
                <c:formatCode>General</c:formatCode>
                <c:ptCount val="90"/>
                <c:pt idx="0">
                  <c:v>-33.75</c:v>
                </c:pt>
                <c:pt idx="1">
                  <c:v>-31.44</c:v>
                </c:pt>
                <c:pt idx="2">
                  <c:v>-8.64</c:v>
                </c:pt>
                <c:pt idx="3">
                  <c:v>-43.48</c:v>
                </c:pt>
                <c:pt idx="4">
                  <c:v>39.71</c:v>
                </c:pt>
                <c:pt idx="5">
                  <c:v>-15.3</c:v>
                </c:pt>
                <c:pt idx="6">
                  <c:v>-35.85</c:v>
                </c:pt>
                <c:pt idx="7">
                  <c:v>3.01</c:v>
                </c:pt>
                <c:pt idx="8">
                  <c:v>-68.92</c:v>
                </c:pt>
                <c:pt idx="9">
                  <c:v>-38.46</c:v>
                </c:pt>
                <c:pt idx="10">
                  <c:v>-21.05</c:v>
                </c:pt>
                <c:pt idx="11">
                  <c:v>-26.45</c:v>
                </c:pt>
                <c:pt idx="12">
                  <c:v>0</c:v>
                </c:pt>
                <c:pt idx="13">
                  <c:v>-29.93</c:v>
                </c:pt>
                <c:pt idx="14">
                  <c:v>17.39</c:v>
                </c:pt>
                <c:pt idx="15">
                  <c:v>25</c:v>
                </c:pt>
                <c:pt idx="16">
                  <c:v>39.56</c:v>
                </c:pt>
                <c:pt idx="17">
                  <c:v>-14.01</c:v>
                </c:pt>
                <c:pt idx="18">
                  <c:v>11.76</c:v>
                </c:pt>
                <c:pt idx="19">
                  <c:v>40.63</c:v>
                </c:pt>
                <c:pt idx="20">
                  <c:v>22.22</c:v>
                </c:pt>
                <c:pt idx="21">
                  <c:v>-20</c:v>
                </c:pt>
                <c:pt idx="22">
                  <c:v>-39.71</c:v>
                </c:pt>
                <c:pt idx="23">
                  <c:v>-26.53</c:v>
                </c:pt>
                <c:pt idx="24">
                  <c:v>-7.89</c:v>
                </c:pt>
                <c:pt idx="25">
                  <c:v>-10.37</c:v>
                </c:pt>
                <c:pt idx="26">
                  <c:v>18.18</c:v>
                </c:pt>
                <c:pt idx="27">
                  <c:v>-12.5</c:v>
                </c:pt>
                <c:pt idx="28">
                  <c:v>-35.37</c:v>
                </c:pt>
                <c:pt idx="29">
                  <c:v>-2.78</c:v>
                </c:pt>
                <c:pt idx="30">
                  <c:v>25.71</c:v>
                </c:pt>
                <c:pt idx="31">
                  <c:v>9.92</c:v>
                </c:pt>
                <c:pt idx="32">
                  <c:v>55.56</c:v>
                </c:pt>
                <c:pt idx="33">
                  <c:v>0</c:v>
                </c:pt>
                <c:pt idx="34">
                  <c:v>47.17</c:v>
                </c:pt>
                <c:pt idx="35">
                  <c:v>-4.29</c:v>
                </c:pt>
                <c:pt idx="36">
                  <c:v>-20.45</c:v>
                </c:pt>
                <c:pt idx="37">
                  <c:v>6.02</c:v>
                </c:pt>
                <c:pt idx="38">
                  <c:v>-19.05</c:v>
                </c:pt>
                <c:pt idx="39">
                  <c:v>-28.57</c:v>
                </c:pt>
                <c:pt idx="40">
                  <c:v>47.17</c:v>
                </c:pt>
                <c:pt idx="41">
                  <c:v>-10.45</c:v>
                </c:pt>
                <c:pt idx="42">
                  <c:v>-51.43</c:v>
                </c:pt>
                <c:pt idx="43">
                  <c:v>-24.11</c:v>
                </c:pt>
                <c:pt idx="44">
                  <c:v>-5.88</c:v>
                </c:pt>
                <c:pt idx="45">
                  <c:v>-40</c:v>
                </c:pt>
                <c:pt idx="46">
                  <c:v>-13.16</c:v>
                </c:pt>
                <c:pt idx="47">
                  <c:v>-6.67</c:v>
                </c:pt>
                <c:pt idx="48">
                  <c:v>5.88</c:v>
                </c:pt>
                <c:pt idx="49">
                  <c:v>-4.67</c:v>
                </c:pt>
                <c:pt idx="50">
                  <c:v>25</c:v>
                </c:pt>
                <c:pt idx="51">
                  <c:v>-100</c:v>
                </c:pt>
                <c:pt idx="52">
                  <c:v>-27.27</c:v>
                </c:pt>
                <c:pt idx="53">
                  <c:v>-3.57</c:v>
                </c:pt>
                <c:pt idx="54">
                  <c:v>-61.11</c:v>
                </c:pt>
                <c:pt idx="55">
                  <c:v>-14.71</c:v>
                </c:pt>
                <c:pt idx="56">
                  <c:v>-42.5</c:v>
                </c:pt>
                <c:pt idx="57">
                  <c:v>0</c:v>
                </c:pt>
                <c:pt idx="58">
                  <c:v>116.67</c:v>
                </c:pt>
                <c:pt idx="59">
                  <c:v>7.41</c:v>
                </c:pt>
                <c:pt idx="60">
                  <c:v>-57.14</c:v>
                </c:pt>
                <c:pt idx="61">
                  <c:v>-52.87</c:v>
                </c:pt>
                <c:pt idx="62">
                  <c:v>56.52</c:v>
                </c:pt>
                <c:pt idx="63">
                  <c:v>66.67</c:v>
                </c:pt>
                <c:pt idx="64">
                  <c:v>-15.38</c:v>
                </c:pt>
                <c:pt idx="65">
                  <c:v>31.03</c:v>
                </c:pt>
                <c:pt idx="66">
                  <c:v>333.33</c:v>
                </c:pt>
                <c:pt idx="67">
                  <c:v>41.46</c:v>
                </c:pt>
                <c:pt idx="68">
                  <c:v>-58.33</c:v>
                </c:pt>
                <c:pt idx="69">
                  <c:v>-80</c:v>
                </c:pt>
                <c:pt idx="70">
                  <c:v>-15.91</c:v>
                </c:pt>
                <c:pt idx="71">
                  <c:v>-18.42</c:v>
                </c:pt>
                <c:pt idx="72">
                  <c:v>0</c:v>
                </c:pt>
                <c:pt idx="73">
                  <c:v>-20.69</c:v>
                </c:pt>
                <c:pt idx="74">
                  <c:v>-53.33</c:v>
                </c:pt>
                <c:pt idx="75">
                  <c:v>0</c:v>
                </c:pt>
                <c:pt idx="76">
                  <c:v>-44.59</c:v>
                </c:pt>
                <c:pt idx="77">
                  <c:v>-33.87</c:v>
                </c:pt>
                <c:pt idx="78">
                  <c:v>53.85</c:v>
                </c:pt>
                <c:pt idx="79">
                  <c:v>36.96</c:v>
                </c:pt>
                <c:pt idx="80">
                  <c:v>457.14</c:v>
                </c:pt>
                <c:pt idx="81">
                  <c:v>-100</c:v>
                </c:pt>
                <c:pt idx="82">
                  <c:v>-41.46</c:v>
                </c:pt>
                <c:pt idx="83">
                  <c:v>53.66</c:v>
                </c:pt>
                <c:pt idx="84">
                  <c:v>-10</c:v>
                </c:pt>
                <c:pt idx="85">
                  <c:v>-12.7</c:v>
                </c:pt>
                <c:pt idx="86">
                  <c:v>-28.21</c:v>
                </c:pt>
                <c:pt idx="87">
                  <c:v>0</c:v>
                </c:pt>
                <c:pt idx="88">
                  <c:v>-58.33</c:v>
                </c:pt>
                <c:pt idx="89">
                  <c:v>1.59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386394"/>
        <c:axId val="21436706"/>
      </c:lineChart>
      <c:catAx>
        <c:axId val="1538639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Timeline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 rot="-2460000"/>
          <a:lstStyle/>
          <a:p>
            <a:pPr>
              <a:defRPr b="0" sz="800" spc="-1" strike="noStrike">
                <a:latin typeface="Arial"/>
              </a:defRPr>
            </a:pPr>
          </a:p>
        </c:txPr>
        <c:crossAx val="21436706"/>
        <c:crossesAt val="0"/>
        <c:auto val="1"/>
        <c:lblAlgn val="ctr"/>
        <c:lblOffset val="100"/>
        <c:noMultiLvlLbl val="0"/>
      </c:catAx>
      <c:valAx>
        <c:axId val="2143670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Change Compared To Most Previous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3863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b3cac7"/>
    </a:solidFill>
    <a:ln w="0">
      <a:noFill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74520</xdr:colOff>
      <xdr:row>1</xdr:row>
      <xdr:rowOff>80640</xdr:rowOff>
    </xdr:from>
    <xdr:to>
      <xdr:col>12</xdr:col>
      <xdr:colOff>574920</xdr:colOff>
      <xdr:row>22</xdr:row>
      <xdr:rowOff>72720</xdr:rowOff>
    </xdr:to>
    <xdr:graphicFrame>
      <xdr:nvGraphicFramePr>
        <xdr:cNvPr id="0" name=""/>
        <xdr:cNvGraphicFramePr/>
      </xdr:nvGraphicFramePr>
      <xdr:xfrm>
        <a:off x="5040360" y="243360"/>
        <a:ext cx="5376960" cy="340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0.00669478476266988</cdr:x>
      <cdr:y>0.01056970721911</cdr:y>
    </cdr:to>
    <cdr:pic>
      <cdr:nvPicPr>
        <cdr:cNvPr id="1" name="" descr=""/>
        <cdr:cNvPicPr/>
      </cdr:nvPicPr>
      <cdr:blipFill>
        <a:blip r:embed="rId1"/>
        <a:stretch/>
      </cdr:blipFill>
      <cdr:spPr>
        <a:xfrm>
          <a:off x="0" y="0"/>
          <a:ext cx="36000" cy="36000"/>
        </a:xfrm>
        <a:prstGeom prst="rect">
          <a:avLst/>
        </a:prstGeom>
        <a:ln w="0">
          <a:noFill/>
        </a:ln>
      </cdr:spPr>
    </cdr:pic>
  </cdr:relSizeAnchor>
</c:userShap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rimeinsight.tbi.tn.gov/tops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0" topLeftCell="B1" activePane="topRight" state="frozen"/>
      <selection pane="topLeft" activeCell="A1" activeCellId="0" sqref="A1"/>
      <selection pane="topRight" activeCell="K25" activeCellId="0" sqref="K2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</row>
    <row r="2" customFormat="false" ht="12.8" hidden="false" customHeight="false" outlineLevel="0" collapsed="false">
      <c r="A2" s="3" t="n">
        <v>2010</v>
      </c>
      <c r="B2" s="4" t="s">
        <v>5</v>
      </c>
      <c r="C2" s="0" t="n">
        <v>-33.75</v>
      </c>
      <c r="D2" s="5" t="n">
        <v>53</v>
      </c>
      <c r="E2" s="0" t="n">
        <v>0</v>
      </c>
      <c r="F2" s="6"/>
      <c r="G2" s="2"/>
      <c r="H2" s="2"/>
      <c r="I2" s="2"/>
      <c r="J2" s="2"/>
      <c r="K2" s="2"/>
      <c r="L2" s="2"/>
      <c r="M2" s="2"/>
      <c r="N2" s="2"/>
      <c r="O2" s="2"/>
    </row>
    <row r="3" customFormat="false" ht="12.8" hidden="false" customHeight="false" outlineLevel="0" collapsed="false">
      <c r="A3" s="7" t="n">
        <v>2010</v>
      </c>
      <c r="B3" s="4" t="s">
        <v>6</v>
      </c>
      <c r="C3" s="0" t="n">
        <v>-31.44</v>
      </c>
      <c r="D3" s="5" t="n">
        <v>133</v>
      </c>
      <c r="E3" s="0" t="n">
        <v>0</v>
      </c>
      <c r="F3" s="6"/>
      <c r="G3" s="2"/>
      <c r="H3" s="2"/>
      <c r="I3" s="2"/>
      <c r="J3" s="2"/>
      <c r="K3" s="2"/>
      <c r="L3" s="2"/>
      <c r="M3" s="2"/>
      <c r="N3" s="2"/>
      <c r="O3" s="2"/>
    </row>
    <row r="4" customFormat="false" ht="12.8" hidden="false" customHeight="false" outlineLevel="0" collapsed="false">
      <c r="A4" s="7" t="n">
        <v>2010</v>
      </c>
      <c r="B4" s="4" t="s">
        <v>7</v>
      </c>
      <c r="C4" s="0" t="n">
        <v>-8.64</v>
      </c>
      <c r="D4" s="5" t="n">
        <v>74</v>
      </c>
      <c r="E4" s="0" t="n">
        <v>0</v>
      </c>
      <c r="F4" s="6"/>
      <c r="G4" s="2"/>
      <c r="H4" s="2"/>
      <c r="I4" s="2"/>
      <c r="J4" s="2"/>
      <c r="K4" s="2"/>
      <c r="L4" s="2"/>
      <c r="M4" s="2"/>
      <c r="N4" s="2"/>
      <c r="O4" s="2"/>
    </row>
    <row r="5" customFormat="false" ht="12.8" hidden="false" customHeight="false" outlineLevel="0" collapsed="false">
      <c r="A5" s="7" t="n">
        <v>2010</v>
      </c>
      <c r="B5" s="4" t="s">
        <v>8</v>
      </c>
      <c r="C5" s="0" t="n">
        <v>-43.48</v>
      </c>
      <c r="D5" s="5" t="n">
        <v>13</v>
      </c>
      <c r="E5" s="0" t="n">
        <v>0</v>
      </c>
      <c r="F5" s="6"/>
      <c r="G5" s="2"/>
      <c r="H5" s="2"/>
      <c r="I5" s="2"/>
      <c r="J5" s="2"/>
      <c r="K5" s="2"/>
      <c r="L5" s="2"/>
      <c r="M5" s="2"/>
      <c r="N5" s="2"/>
      <c r="O5" s="2"/>
    </row>
    <row r="6" customFormat="false" ht="12.8" hidden="false" customHeight="false" outlineLevel="0" collapsed="false">
      <c r="A6" s="7" t="n">
        <v>2010</v>
      </c>
      <c r="B6" s="4" t="s">
        <v>9</v>
      </c>
      <c r="C6" s="0" t="n">
        <v>39.71</v>
      </c>
      <c r="D6" s="5" t="n">
        <v>285</v>
      </c>
      <c r="E6" s="0" t="n">
        <v>0</v>
      </c>
      <c r="F6" s="6"/>
      <c r="G6" s="2"/>
      <c r="H6" s="2"/>
      <c r="I6" s="2"/>
      <c r="J6" s="2"/>
      <c r="K6" s="2"/>
      <c r="L6" s="2"/>
      <c r="M6" s="2"/>
      <c r="N6" s="2"/>
      <c r="O6" s="2"/>
    </row>
    <row r="7" customFormat="false" ht="12.8" hidden="false" customHeight="false" outlineLevel="0" collapsed="false">
      <c r="A7" s="7" t="n">
        <v>2010</v>
      </c>
      <c r="B7" s="4" t="s">
        <v>10</v>
      </c>
      <c r="C7" s="0" t="n">
        <v>-15.3</v>
      </c>
      <c r="D7" s="5" t="n">
        <v>155</v>
      </c>
      <c r="E7" s="0" t="n">
        <v>0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customFormat="false" ht="12.8" hidden="false" customHeight="false" outlineLevel="0" collapsed="false">
      <c r="A8" s="3" t="n">
        <v>2011</v>
      </c>
      <c r="B8" s="8" t="s">
        <v>5</v>
      </c>
      <c r="C8" s="0" t="n">
        <v>-35.85</v>
      </c>
      <c r="D8" s="5" t="n">
        <v>34</v>
      </c>
      <c r="E8" s="0" t="n">
        <f aca="true">D8 - INDIRECT("D"&amp;(ROW()-6))</f>
        <v>-19</v>
      </c>
      <c r="F8" s="6"/>
      <c r="G8" s="2"/>
      <c r="H8" s="2"/>
      <c r="I8" s="2"/>
      <c r="J8" s="2"/>
      <c r="K8" s="2"/>
      <c r="L8" s="2"/>
      <c r="M8" s="2"/>
      <c r="N8" s="2"/>
      <c r="O8" s="2"/>
    </row>
    <row r="9" customFormat="false" ht="12.8" hidden="false" customHeight="false" outlineLevel="0" collapsed="false">
      <c r="A9" s="7" t="n">
        <v>2011</v>
      </c>
      <c r="B9" s="8" t="s">
        <v>6</v>
      </c>
      <c r="C9" s="0" t="n">
        <v>3.01</v>
      </c>
      <c r="D9" s="5" t="n">
        <v>137</v>
      </c>
      <c r="E9" s="0" t="n">
        <f aca="true">D9 - INDIRECT("D"&amp;(ROW()-6))</f>
        <v>4</v>
      </c>
      <c r="F9" s="6"/>
      <c r="G9" s="2"/>
      <c r="H9" s="2"/>
      <c r="I9" s="2"/>
      <c r="J9" s="2"/>
      <c r="K9" s="2"/>
      <c r="L9" s="2"/>
      <c r="M9" s="2"/>
      <c r="N9" s="2"/>
      <c r="O9" s="2"/>
    </row>
    <row r="10" customFormat="false" ht="12.8" hidden="false" customHeight="false" outlineLevel="0" collapsed="false">
      <c r="A10" s="7" t="n">
        <v>2011</v>
      </c>
      <c r="B10" s="8" t="s">
        <v>7</v>
      </c>
      <c r="C10" s="0" t="n">
        <v>-68.92</v>
      </c>
      <c r="D10" s="5" t="n">
        <v>23</v>
      </c>
      <c r="E10" s="0" t="n">
        <f aca="true">D10 - INDIRECT("D"&amp;(ROW()-6))</f>
        <v>-51</v>
      </c>
      <c r="F10" s="6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2.8" hidden="false" customHeight="false" outlineLevel="0" collapsed="false">
      <c r="A11" s="7" t="n">
        <v>2011</v>
      </c>
      <c r="B11" s="8" t="s">
        <v>8</v>
      </c>
      <c r="C11" s="0" t="n">
        <v>-38.46</v>
      </c>
      <c r="D11" s="5" t="n">
        <v>8</v>
      </c>
      <c r="E11" s="0" t="n">
        <f aca="true">D11 - INDIRECT("D"&amp;(ROW()-6))</f>
        <v>-5</v>
      </c>
      <c r="F11" s="6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2.8" hidden="false" customHeight="false" outlineLevel="0" collapsed="false">
      <c r="A12" s="7" t="n">
        <v>2011</v>
      </c>
      <c r="B12" s="8" t="s">
        <v>9</v>
      </c>
      <c r="C12" s="0" t="n">
        <v>-21.05</v>
      </c>
      <c r="D12" s="5" t="n">
        <v>225</v>
      </c>
      <c r="E12" s="0" t="n">
        <f aca="true">D12 - INDIRECT("D"&amp;(ROW()-6))</f>
        <v>-60</v>
      </c>
      <c r="F12" s="6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2.8" hidden="false" customHeight="false" outlineLevel="0" collapsed="false">
      <c r="A13" s="7" t="n">
        <v>2011</v>
      </c>
      <c r="B13" s="8" t="s">
        <v>10</v>
      </c>
      <c r="C13" s="0" t="n">
        <v>-26.45</v>
      </c>
      <c r="D13" s="5" t="n">
        <v>114</v>
      </c>
      <c r="E13" s="0" t="n">
        <f aca="true">D13 - INDIRECT("D"&amp;(ROW()-6))</f>
        <v>-41</v>
      </c>
      <c r="F13" s="6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2.8" hidden="false" customHeight="false" outlineLevel="0" collapsed="false">
      <c r="A14" s="3" t="n">
        <v>2012</v>
      </c>
      <c r="B14" s="4" t="s">
        <v>5</v>
      </c>
      <c r="C14" s="0" t="n">
        <v>0</v>
      </c>
      <c r="D14" s="5" t="n">
        <v>34</v>
      </c>
      <c r="E14" s="0" t="n">
        <f aca="true">D14 - INDIRECT("D"&amp;(ROW()-6))</f>
        <v>0</v>
      </c>
      <c r="F14" s="6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2.8" hidden="false" customHeight="false" outlineLevel="0" collapsed="false">
      <c r="A15" s="7" t="n">
        <v>2012</v>
      </c>
      <c r="B15" s="4" t="s">
        <v>6</v>
      </c>
      <c r="C15" s="0" t="n">
        <v>-29.93</v>
      </c>
      <c r="D15" s="5" t="n">
        <v>96</v>
      </c>
      <c r="E15" s="0" t="n">
        <f aca="true">D15 - INDIRECT("D"&amp;(ROW()-6))</f>
        <v>-41</v>
      </c>
      <c r="F15" s="6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2.8" hidden="false" customHeight="false" outlineLevel="0" collapsed="false">
      <c r="A16" s="7" t="n">
        <v>2012</v>
      </c>
      <c r="B16" s="4" t="s">
        <v>7</v>
      </c>
      <c r="C16" s="0" t="n">
        <v>17.39</v>
      </c>
      <c r="D16" s="5" t="n">
        <v>27</v>
      </c>
      <c r="E16" s="0" t="n">
        <f aca="true">D16 - INDIRECT("D"&amp;(ROW()-6))</f>
        <v>4</v>
      </c>
      <c r="F16" s="6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2.8" hidden="false" customHeight="false" outlineLevel="0" collapsed="false">
      <c r="A17" s="7" t="n">
        <v>2012</v>
      </c>
      <c r="B17" s="4" t="s">
        <v>8</v>
      </c>
      <c r="C17" s="0" t="n">
        <v>25</v>
      </c>
      <c r="D17" s="5" t="n">
        <v>10</v>
      </c>
      <c r="E17" s="0" t="n">
        <f aca="true">D17 - INDIRECT("D"&amp;(ROW()-6))</f>
        <v>2</v>
      </c>
      <c r="F17" s="6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2.8" hidden="false" customHeight="false" outlineLevel="0" collapsed="false">
      <c r="A18" s="7" t="n">
        <v>2012</v>
      </c>
      <c r="B18" s="4" t="s">
        <v>9</v>
      </c>
      <c r="C18" s="0" t="n">
        <v>39.56</v>
      </c>
      <c r="D18" s="5" t="n">
        <v>136</v>
      </c>
      <c r="E18" s="0" t="n">
        <f aca="true">D18 - INDIRECT("D"&amp;(ROW()-6))</f>
        <v>-89</v>
      </c>
      <c r="F18" s="6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2.8" hidden="false" customHeight="false" outlineLevel="0" collapsed="false">
      <c r="A19" s="7" t="n">
        <v>2012</v>
      </c>
      <c r="B19" s="4" t="s">
        <v>10</v>
      </c>
      <c r="C19" s="0" t="n">
        <v>-14.01</v>
      </c>
      <c r="D19" s="5" t="n">
        <v>98</v>
      </c>
      <c r="E19" s="0" t="n">
        <f aca="true">D19 - INDIRECT("D"&amp;(ROW()-6))</f>
        <v>-16</v>
      </c>
      <c r="F19" s="6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2.8" hidden="false" customHeight="false" outlineLevel="0" collapsed="false">
      <c r="A20" s="3" t="n">
        <v>2013</v>
      </c>
      <c r="B20" s="8" t="s">
        <v>5</v>
      </c>
      <c r="C20" s="0" t="n">
        <v>11.76</v>
      </c>
      <c r="D20" s="5" t="n">
        <v>38</v>
      </c>
      <c r="E20" s="0" t="n">
        <f aca="true">D20 - INDIRECT("D"&amp;(ROW()-6))</f>
        <v>4</v>
      </c>
      <c r="F20" s="6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2.8" hidden="false" customHeight="false" outlineLevel="0" collapsed="false">
      <c r="A21" s="7" t="n">
        <v>2013</v>
      </c>
      <c r="B21" s="8" t="s">
        <v>6</v>
      </c>
      <c r="C21" s="0" t="n">
        <v>40.63</v>
      </c>
      <c r="D21" s="5" t="n">
        <v>135</v>
      </c>
      <c r="E21" s="0" t="n">
        <f aca="true">D21 - INDIRECT("D"&amp;(ROW()-6))</f>
        <v>39</v>
      </c>
      <c r="F21" s="6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2.8" hidden="false" customHeight="false" outlineLevel="0" collapsed="false">
      <c r="A22" s="7" t="n">
        <v>2013</v>
      </c>
      <c r="B22" s="8" t="s">
        <v>7</v>
      </c>
      <c r="C22" s="0" t="n">
        <v>22.22</v>
      </c>
      <c r="D22" s="5" t="n">
        <v>33</v>
      </c>
      <c r="E22" s="0" t="n">
        <f aca="true">D22 - INDIRECT("D"&amp;(ROW()-6))</f>
        <v>6</v>
      </c>
      <c r="F22" s="6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2.8" hidden="false" customHeight="false" outlineLevel="0" collapsed="false">
      <c r="A23" s="7" t="n">
        <v>2013</v>
      </c>
      <c r="B23" s="8" t="s">
        <v>8</v>
      </c>
      <c r="C23" s="0" t="n">
        <v>-20</v>
      </c>
      <c r="D23" s="5" t="n">
        <v>8</v>
      </c>
      <c r="E23" s="0" t="n">
        <f aca="true">D23 - INDIRECT("D"&amp;(ROW()-6))</f>
        <v>-2</v>
      </c>
      <c r="F23" s="6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2.8" hidden="false" customHeight="false" outlineLevel="0" collapsed="false">
      <c r="A24" s="7" t="n">
        <v>2013</v>
      </c>
      <c r="B24" s="8" t="s">
        <v>9</v>
      </c>
      <c r="C24" s="0" t="n">
        <v>-39.71</v>
      </c>
      <c r="D24" s="5" t="n">
        <v>82</v>
      </c>
      <c r="E24" s="0" t="n">
        <f aca="true">D24 - INDIRECT("D"&amp;(ROW()-6))</f>
        <v>-54</v>
      </c>
      <c r="F24" s="6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2.8" hidden="false" customHeight="false" outlineLevel="0" collapsed="false">
      <c r="A25" s="7" t="n">
        <v>2013</v>
      </c>
      <c r="B25" s="8" t="s">
        <v>10</v>
      </c>
      <c r="C25" s="0" t="n">
        <v>-26.53</v>
      </c>
      <c r="D25" s="5" t="n">
        <v>72</v>
      </c>
      <c r="E25" s="0" t="n">
        <f aca="true">D25 - INDIRECT("D"&amp;(ROW()-6))</f>
        <v>-26</v>
      </c>
      <c r="F25" s="6"/>
      <c r="G25" s="2" t="s">
        <v>11</v>
      </c>
      <c r="H25" s="2"/>
      <c r="I25" s="2"/>
      <c r="J25" s="2"/>
      <c r="K25" s="2"/>
      <c r="L25" s="2"/>
      <c r="M25" s="2"/>
      <c r="N25" s="2"/>
      <c r="O25" s="2"/>
    </row>
    <row r="26" customFormat="false" ht="12.8" hidden="false" customHeight="false" outlineLevel="0" collapsed="false">
      <c r="A26" s="3" t="n">
        <v>2014</v>
      </c>
      <c r="B26" s="4" t="s">
        <v>5</v>
      </c>
      <c r="C26" s="0" t="n">
        <v>-7.89</v>
      </c>
      <c r="D26" s="5" t="n">
        <v>35</v>
      </c>
      <c r="E26" s="0" t="n">
        <f aca="true">D26 - INDIRECT("D"&amp;(ROW()-6))</f>
        <v>-3</v>
      </c>
      <c r="F26" s="6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2.8" hidden="false" customHeight="false" outlineLevel="0" collapsed="false">
      <c r="A27" s="7" t="n">
        <v>2014</v>
      </c>
      <c r="B27" s="4" t="s">
        <v>6</v>
      </c>
      <c r="C27" s="0" t="n">
        <v>-10.37</v>
      </c>
      <c r="D27" s="5" t="n">
        <v>121</v>
      </c>
      <c r="E27" s="0" t="n">
        <f aca="true">D27 - INDIRECT("D"&amp;(ROW()-6))</f>
        <v>-14</v>
      </c>
      <c r="F27" s="6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2.8" hidden="false" customHeight="false" outlineLevel="0" collapsed="false">
      <c r="A28" s="7" t="n">
        <v>2014</v>
      </c>
      <c r="B28" s="4" t="s">
        <v>7</v>
      </c>
      <c r="C28" s="0" t="n">
        <v>18.18</v>
      </c>
      <c r="D28" s="5" t="n">
        <v>27</v>
      </c>
      <c r="E28" s="0" t="n">
        <f aca="true">D28 - INDIRECT("D"&amp;(ROW()-6))</f>
        <v>-6</v>
      </c>
      <c r="F28" s="6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2.8" hidden="false" customHeight="false" outlineLevel="0" collapsed="false">
      <c r="A29" s="7" t="n">
        <v>2014</v>
      </c>
      <c r="B29" s="4" t="s">
        <v>8</v>
      </c>
      <c r="C29" s="0" t="n">
        <v>-12.5</v>
      </c>
      <c r="D29" s="5" t="n">
        <v>7</v>
      </c>
      <c r="E29" s="0" t="n">
        <f aca="true">D29 - INDIRECT("D"&amp;(ROW()-6))</f>
        <v>-1</v>
      </c>
      <c r="F29" s="6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2.8" hidden="false" customHeight="false" outlineLevel="0" collapsed="false">
      <c r="A30" s="7" t="n">
        <v>2014</v>
      </c>
      <c r="B30" s="4" t="s">
        <v>9</v>
      </c>
      <c r="C30" s="0" t="n">
        <v>-35.37</v>
      </c>
      <c r="D30" s="5" t="n">
        <v>53</v>
      </c>
      <c r="E30" s="0" t="n">
        <f aca="true">D30 - INDIRECT("D"&amp;(ROW()-6))</f>
        <v>-29</v>
      </c>
      <c r="F30" s="6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2.8" hidden="false" customHeight="false" outlineLevel="0" collapsed="false">
      <c r="A31" s="7" t="n">
        <v>2014</v>
      </c>
      <c r="B31" s="4" t="s">
        <v>10</v>
      </c>
      <c r="C31" s="0" t="n">
        <v>-2.78</v>
      </c>
      <c r="D31" s="5" t="n">
        <v>70</v>
      </c>
      <c r="E31" s="0" t="n">
        <f aca="true">D31 - INDIRECT("D"&amp;(ROW()-6))</f>
        <v>-2</v>
      </c>
      <c r="F31" s="6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2.8" hidden="false" customHeight="false" outlineLevel="0" collapsed="false">
      <c r="A32" s="3" t="n">
        <v>2015</v>
      </c>
      <c r="B32" s="8" t="s">
        <v>5</v>
      </c>
      <c r="C32" s="0" t="n">
        <v>25.71</v>
      </c>
      <c r="D32" s="5" t="n">
        <v>44</v>
      </c>
      <c r="E32" s="0" t="n">
        <f aca="true">D32 - INDIRECT("D"&amp;(ROW()-6))</f>
        <v>9</v>
      </c>
      <c r="F32" s="6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2.8" hidden="false" customHeight="false" outlineLevel="0" collapsed="false">
      <c r="A33" s="7" t="n">
        <v>2015</v>
      </c>
      <c r="B33" s="8" t="s">
        <v>6</v>
      </c>
      <c r="C33" s="0" t="n">
        <v>9.92</v>
      </c>
      <c r="D33" s="5" t="n">
        <v>133</v>
      </c>
      <c r="E33" s="0" t="n">
        <f aca="true">D33 - INDIRECT("D"&amp;(ROW()-6))</f>
        <v>12</v>
      </c>
      <c r="F33" s="6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2.8" hidden="false" customHeight="false" outlineLevel="0" collapsed="false">
      <c r="A34" s="7" t="n">
        <v>2015</v>
      </c>
      <c r="B34" s="8" t="s">
        <v>7</v>
      </c>
      <c r="C34" s="0" t="n">
        <v>55.56</v>
      </c>
      <c r="D34" s="5" t="n">
        <v>42</v>
      </c>
      <c r="E34" s="0" t="n">
        <f aca="true">D34 - INDIRECT("D"&amp;(ROW()-6))</f>
        <v>15</v>
      </c>
      <c r="F34" s="6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2.8" hidden="false" customHeight="false" outlineLevel="0" collapsed="false">
      <c r="A35" s="7" t="n">
        <v>2015</v>
      </c>
      <c r="B35" s="8" t="s">
        <v>8</v>
      </c>
      <c r="C35" s="0" t="n">
        <v>0</v>
      </c>
      <c r="D35" s="5" t="n">
        <v>7</v>
      </c>
      <c r="E35" s="0" t="n">
        <f aca="true">D35 - INDIRECT("D"&amp;(ROW()-6))</f>
        <v>0</v>
      </c>
      <c r="F35" s="6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2.8" hidden="false" customHeight="false" outlineLevel="0" collapsed="false">
      <c r="A36" s="7" t="n">
        <v>2015</v>
      </c>
      <c r="B36" s="8" t="s">
        <v>9</v>
      </c>
      <c r="C36" s="0" t="n">
        <v>47.17</v>
      </c>
      <c r="D36" s="5" t="n">
        <v>78</v>
      </c>
      <c r="E36" s="0" t="n">
        <f aca="true">D36 - INDIRECT("D"&amp;(ROW()-6))</f>
        <v>25</v>
      </c>
      <c r="F36" s="6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2.8" hidden="false" customHeight="false" outlineLevel="0" collapsed="false">
      <c r="A37" s="7" t="n">
        <v>2015</v>
      </c>
      <c r="B37" s="8" t="s">
        <v>10</v>
      </c>
      <c r="C37" s="0" t="n">
        <v>-4.29</v>
      </c>
      <c r="D37" s="5" t="n">
        <v>67</v>
      </c>
      <c r="E37" s="0" t="n">
        <f aca="true">D37 - INDIRECT("D"&amp;(ROW()-6))</f>
        <v>-3</v>
      </c>
      <c r="F37" s="6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2.8" hidden="false" customHeight="false" outlineLevel="0" collapsed="false">
      <c r="A38" s="3" t="n">
        <v>2016</v>
      </c>
      <c r="B38" s="4" t="s">
        <v>5</v>
      </c>
      <c r="C38" s="0" t="n">
        <v>-20.45</v>
      </c>
      <c r="D38" s="5" t="n">
        <v>35</v>
      </c>
      <c r="E38" s="0" t="n">
        <f aca="true">D38 - INDIRECT("D"&amp;(ROW()-6))</f>
        <v>-9</v>
      </c>
      <c r="F38" s="6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2.8" hidden="false" customHeight="false" outlineLevel="0" collapsed="false">
      <c r="A39" s="7" t="n">
        <v>2016</v>
      </c>
      <c r="B39" s="4" t="s">
        <v>6</v>
      </c>
      <c r="C39" s="0" t="n">
        <v>6.02</v>
      </c>
      <c r="D39" s="5" t="n">
        <v>141</v>
      </c>
      <c r="E39" s="0" t="n">
        <f aca="true">D39 - INDIRECT("D"&amp;(ROW()-6))</f>
        <v>8</v>
      </c>
      <c r="F39" s="6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2.8" hidden="false" customHeight="false" outlineLevel="0" collapsed="false">
      <c r="A40" s="7" t="n">
        <v>2016</v>
      </c>
      <c r="B40" s="4" t="s">
        <v>7</v>
      </c>
      <c r="C40" s="0" t="n">
        <v>-19.05</v>
      </c>
      <c r="D40" s="5" t="n">
        <v>34</v>
      </c>
      <c r="E40" s="0" t="n">
        <f aca="true">D40 - INDIRECT("D"&amp;(ROW()-6))</f>
        <v>-8</v>
      </c>
      <c r="F40" s="6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2.8" hidden="false" customHeight="false" outlineLevel="0" collapsed="false">
      <c r="A41" s="7" t="n">
        <v>2016</v>
      </c>
      <c r="B41" s="4" t="s">
        <v>8</v>
      </c>
      <c r="C41" s="0" t="n">
        <v>-28.57</v>
      </c>
      <c r="D41" s="5" t="n">
        <v>5</v>
      </c>
      <c r="E41" s="0" t="n">
        <f aca="true">D41 - INDIRECT("D"&amp;(ROW()-6))</f>
        <v>-2</v>
      </c>
      <c r="F41" s="6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2.8" hidden="false" customHeight="false" outlineLevel="0" collapsed="false">
      <c r="A42" s="7" t="n">
        <v>2016</v>
      </c>
      <c r="B42" s="4" t="s">
        <v>9</v>
      </c>
      <c r="C42" s="0" t="n">
        <v>47.17</v>
      </c>
      <c r="D42" s="5" t="n">
        <v>78</v>
      </c>
      <c r="E42" s="0" t="n">
        <f aca="true">D42 - INDIRECT("D"&amp;(ROW()-6))</f>
        <v>0</v>
      </c>
      <c r="F42" s="6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2.8" hidden="false" customHeight="false" outlineLevel="0" collapsed="false">
      <c r="A43" s="7" t="n">
        <v>2016</v>
      </c>
      <c r="B43" s="4" t="s">
        <v>10</v>
      </c>
      <c r="C43" s="0" t="n">
        <v>-10.45</v>
      </c>
      <c r="D43" s="5" t="n">
        <v>60</v>
      </c>
      <c r="E43" s="0" t="n">
        <f aca="true">D43 - INDIRECT("D"&amp;(ROW()-6))</f>
        <v>-7</v>
      </c>
      <c r="F43" s="6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2.8" hidden="false" customHeight="false" outlineLevel="0" collapsed="false">
      <c r="A44" s="3" t="n">
        <v>2017</v>
      </c>
      <c r="B44" s="8" t="s">
        <v>5</v>
      </c>
      <c r="C44" s="0" t="n">
        <v>-51.43</v>
      </c>
      <c r="D44" s="5" t="n">
        <v>17</v>
      </c>
      <c r="E44" s="0" t="n">
        <f aca="true">D44 - INDIRECT("D"&amp;(ROW()-6))</f>
        <v>-18</v>
      </c>
      <c r="F44" s="6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2.8" hidden="false" customHeight="false" outlineLevel="0" collapsed="false">
      <c r="A45" s="7" t="n">
        <v>2017</v>
      </c>
      <c r="B45" s="8" t="s">
        <v>6</v>
      </c>
      <c r="C45" s="0" t="n">
        <v>-24.11</v>
      </c>
      <c r="D45" s="5" t="n">
        <v>107</v>
      </c>
      <c r="E45" s="0" t="n">
        <f aca="true">D45 - INDIRECT("D"&amp;(ROW()-6))</f>
        <v>-34</v>
      </c>
      <c r="F45" s="6"/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2.8" hidden="false" customHeight="false" outlineLevel="0" collapsed="false">
      <c r="A46" s="7" t="n">
        <v>2017</v>
      </c>
      <c r="B46" s="8" t="s">
        <v>7</v>
      </c>
      <c r="C46" s="0" t="n">
        <v>-5.88</v>
      </c>
      <c r="D46" s="5" t="n">
        <v>32</v>
      </c>
      <c r="E46" s="0" t="n">
        <f aca="true">D46 - INDIRECT("D"&amp;(ROW()-6))</f>
        <v>-2</v>
      </c>
      <c r="F46" s="6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2.8" hidden="false" customHeight="false" outlineLevel="0" collapsed="false">
      <c r="A47" s="7" t="n">
        <v>2017</v>
      </c>
      <c r="B47" s="8" t="s">
        <v>8</v>
      </c>
      <c r="C47" s="0" t="n">
        <v>-40</v>
      </c>
      <c r="D47" s="5" t="n">
        <v>3</v>
      </c>
      <c r="E47" s="0" t="n">
        <f aca="true">D47 - INDIRECT("D"&amp;(ROW()-6))</f>
        <v>-2</v>
      </c>
      <c r="F47" s="6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2.8" hidden="false" customHeight="false" outlineLevel="0" collapsed="false">
      <c r="A48" s="7" t="n">
        <v>2017</v>
      </c>
      <c r="B48" s="8" t="s">
        <v>9</v>
      </c>
      <c r="C48" s="0" t="n">
        <v>-13.16</v>
      </c>
      <c r="D48" s="5" t="n">
        <v>66</v>
      </c>
      <c r="E48" s="0" t="n">
        <f aca="true">D48 - INDIRECT("D"&amp;(ROW()-6))</f>
        <v>-12</v>
      </c>
      <c r="F48" s="6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2.8" hidden="false" customHeight="false" outlineLevel="0" collapsed="false">
      <c r="A49" s="7" t="n">
        <v>2017</v>
      </c>
      <c r="B49" s="8" t="s">
        <v>10</v>
      </c>
      <c r="C49" s="0" t="n">
        <v>-6.67</v>
      </c>
      <c r="D49" s="5" t="n">
        <v>56</v>
      </c>
      <c r="E49" s="0" t="n">
        <f aca="true">D49 - INDIRECT("D"&amp;(ROW()-6))</f>
        <v>-4</v>
      </c>
      <c r="F49" s="6"/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2.8" hidden="false" customHeight="false" outlineLevel="0" collapsed="false">
      <c r="A50" s="3" t="n">
        <v>2018</v>
      </c>
      <c r="B50" s="4" t="s">
        <v>5</v>
      </c>
      <c r="C50" s="0" t="n">
        <v>5.88</v>
      </c>
      <c r="D50" s="5" t="n">
        <v>18</v>
      </c>
      <c r="E50" s="0" t="n">
        <f aca="true">D50 - INDIRECT("D"&amp;(ROW()-6))</f>
        <v>1</v>
      </c>
      <c r="F50" s="6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2.8" hidden="false" customHeight="false" outlineLevel="0" collapsed="false">
      <c r="A51" s="7" t="n">
        <v>2018</v>
      </c>
      <c r="B51" s="4" t="s">
        <v>6</v>
      </c>
      <c r="C51" s="0" t="n">
        <v>-4.67</v>
      </c>
      <c r="D51" s="5" t="n">
        <v>102</v>
      </c>
      <c r="E51" s="0" t="n">
        <f aca="true">D51 - INDIRECT("D"&amp;(ROW()-6))</f>
        <v>-5</v>
      </c>
      <c r="F51" s="6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2.8" hidden="false" customHeight="false" outlineLevel="0" collapsed="false">
      <c r="A52" s="7" t="n">
        <v>2018</v>
      </c>
      <c r="B52" s="4" t="s">
        <v>7</v>
      </c>
      <c r="C52" s="0" t="n">
        <v>25</v>
      </c>
      <c r="D52" s="5" t="n">
        <v>10</v>
      </c>
      <c r="E52" s="0" t="n">
        <f aca="true">D52 - INDIRECT("D"&amp;(ROW()-6))</f>
        <v>-22</v>
      </c>
      <c r="F52" s="6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2.8" hidden="false" customHeight="false" outlineLevel="0" collapsed="false">
      <c r="A53" s="7" t="n">
        <v>2018</v>
      </c>
      <c r="B53" s="4" t="s">
        <v>8</v>
      </c>
      <c r="C53" s="0" t="n">
        <v>-100</v>
      </c>
      <c r="D53" s="5" t="n">
        <v>0</v>
      </c>
      <c r="E53" s="0" t="n">
        <f aca="true">D53 - INDIRECT("D"&amp;(ROW()-6))</f>
        <v>-3</v>
      </c>
      <c r="F53" s="6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2.8" hidden="false" customHeight="false" outlineLevel="0" collapsed="false">
      <c r="A54" s="7" t="n">
        <v>2018</v>
      </c>
      <c r="B54" s="4" t="s">
        <v>9</v>
      </c>
      <c r="C54" s="0" t="n">
        <v>-27.27</v>
      </c>
      <c r="D54" s="5" t="n">
        <v>48</v>
      </c>
      <c r="E54" s="0" t="n">
        <f aca="true">D54 - INDIRECT("D"&amp;(ROW()-6))</f>
        <v>-18</v>
      </c>
      <c r="F54" s="6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2.8" hidden="false" customHeight="false" outlineLevel="0" collapsed="false">
      <c r="A55" s="7" t="n">
        <v>2018</v>
      </c>
      <c r="B55" s="4" t="s">
        <v>10</v>
      </c>
      <c r="C55" s="0" t="n">
        <v>-3.57</v>
      </c>
      <c r="D55" s="5" t="n">
        <v>54</v>
      </c>
      <c r="E55" s="0" t="n">
        <f aca="true">D55 - INDIRECT("D"&amp;(ROW()-6))</f>
        <v>-2</v>
      </c>
      <c r="F55" s="6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2.8" hidden="false" customHeight="false" outlineLevel="0" collapsed="false">
      <c r="A56" s="3" t="n">
        <v>2019</v>
      </c>
      <c r="B56" s="8" t="s">
        <v>5</v>
      </c>
      <c r="C56" s="0" t="n">
        <v>-61.11</v>
      </c>
      <c r="D56" s="5" t="n">
        <v>7</v>
      </c>
      <c r="E56" s="0" t="n">
        <f aca="true">D56 - INDIRECT("D"&amp;(ROW()-6))</f>
        <v>-11</v>
      </c>
      <c r="F56" s="6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2.8" hidden="false" customHeight="false" outlineLevel="0" collapsed="false">
      <c r="A57" s="7" t="n">
        <v>2019</v>
      </c>
      <c r="B57" s="8" t="s">
        <v>6</v>
      </c>
      <c r="C57" s="0" t="n">
        <v>-14.71</v>
      </c>
      <c r="D57" s="5" t="n">
        <v>87</v>
      </c>
      <c r="E57" s="0" t="n">
        <f aca="true">D57 - INDIRECT("D"&amp;(ROW()-6))</f>
        <v>-15</v>
      </c>
      <c r="F57" s="6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2.8" hidden="false" customHeight="false" outlineLevel="0" collapsed="false">
      <c r="A58" s="7" t="n">
        <v>2019</v>
      </c>
      <c r="B58" s="8" t="s">
        <v>7</v>
      </c>
      <c r="C58" s="0" t="n">
        <v>-42.5</v>
      </c>
      <c r="D58" s="5" t="n">
        <v>23</v>
      </c>
      <c r="E58" s="0" t="n">
        <f aca="true">D58 - INDIRECT("D"&amp;(ROW()-6))</f>
        <v>13</v>
      </c>
      <c r="F58" s="6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2.8" hidden="false" customHeight="false" outlineLevel="0" collapsed="false">
      <c r="A59" s="7" t="n">
        <v>2019</v>
      </c>
      <c r="B59" s="8" t="s">
        <v>8</v>
      </c>
      <c r="C59" s="0" t="n">
        <v>0</v>
      </c>
      <c r="D59" s="5" t="n">
        <v>3</v>
      </c>
      <c r="E59" s="0" t="n">
        <f aca="true">D59 - INDIRECT("D"&amp;(ROW()-6))</f>
        <v>3</v>
      </c>
      <c r="F59" s="6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2.8" hidden="false" customHeight="false" outlineLevel="0" collapsed="false">
      <c r="A60" s="7" t="n">
        <v>2019</v>
      </c>
      <c r="B60" s="8" t="s">
        <v>9</v>
      </c>
      <c r="C60" s="0" t="n">
        <v>116.67</v>
      </c>
      <c r="D60" s="5" t="n">
        <v>104</v>
      </c>
      <c r="E60" s="0" t="n">
        <f aca="true">D60 - INDIRECT("D"&amp;(ROW()-6))</f>
        <v>56</v>
      </c>
      <c r="F60" s="6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2.8" hidden="false" customHeight="false" outlineLevel="0" collapsed="false">
      <c r="A61" s="7" t="n">
        <v>2019</v>
      </c>
      <c r="B61" s="8" t="s">
        <v>10</v>
      </c>
      <c r="C61" s="0" t="n">
        <v>7.41</v>
      </c>
      <c r="D61" s="5" t="n">
        <v>58</v>
      </c>
      <c r="E61" s="0" t="n">
        <f aca="true">D61 - INDIRECT("D"&amp;(ROW()-6))</f>
        <v>4</v>
      </c>
      <c r="F61" s="6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2.8" hidden="false" customHeight="false" outlineLevel="0" collapsed="false">
      <c r="A62" s="3" t="n">
        <v>2020</v>
      </c>
      <c r="B62" s="4" t="s">
        <v>5</v>
      </c>
      <c r="C62" s="0" t="n">
        <v>-57.14</v>
      </c>
      <c r="D62" s="5" t="n">
        <v>3</v>
      </c>
      <c r="E62" s="0" t="n">
        <f aca="true">D62 - INDIRECT("D"&amp;(ROW()-6))</f>
        <v>-4</v>
      </c>
      <c r="F62" s="6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2.8" hidden="false" customHeight="false" outlineLevel="0" collapsed="false">
      <c r="A63" s="7" t="n">
        <v>2020</v>
      </c>
      <c r="B63" s="4" t="s">
        <v>6</v>
      </c>
      <c r="C63" s="0" t="n">
        <v>-52.87</v>
      </c>
      <c r="D63" s="5" t="n">
        <v>41</v>
      </c>
      <c r="E63" s="0" t="n">
        <f aca="true">D63 - INDIRECT("D"&amp;(ROW()-6))</f>
        <v>-46</v>
      </c>
      <c r="F63" s="6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2.8" hidden="false" customHeight="false" outlineLevel="0" collapsed="false">
      <c r="A64" s="7" t="n">
        <v>2020</v>
      </c>
      <c r="B64" s="4" t="s">
        <v>7</v>
      </c>
      <c r="C64" s="0" t="n">
        <v>56.52</v>
      </c>
      <c r="D64" s="5" t="n">
        <v>36</v>
      </c>
      <c r="E64" s="0" t="n">
        <f aca="true">D64 - INDIRECT("D"&amp;(ROW()-6))</f>
        <v>13</v>
      </c>
      <c r="F64" s="6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2.8" hidden="false" customHeight="false" outlineLevel="0" collapsed="false">
      <c r="A65" s="7" t="n">
        <v>2020</v>
      </c>
      <c r="B65" s="4" t="s">
        <v>8</v>
      </c>
      <c r="C65" s="0" t="n">
        <v>66.67</v>
      </c>
      <c r="D65" s="5" t="n">
        <v>5</v>
      </c>
      <c r="E65" s="0" t="n">
        <f aca="true">D65 - INDIRECT("D"&amp;(ROW()-6))</f>
        <v>2</v>
      </c>
      <c r="F65" s="6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2.8" hidden="false" customHeight="false" outlineLevel="0" collapsed="false">
      <c r="A66" s="7" t="n">
        <v>2020</v>
      </c>
      <c r="B66" s="4" t="s">
        <v>9</v>
      </c>
      <c r="C66" s="0" t="n">
        <v>-15.38</v>
      </c>
      <c r="D66" s="5" t="n">
        <v>88</v>
      </c>
      <c r="E66" s="0" t="n">
        <f aca="true">D66 - INDIRECT("D"&amp;(ROW()-6))</f>
        <v>-16</v>
      </c>
      <c r="F66" s="6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2.8" hidden="false" customHeight="false" outlineLevel="0" collapsed="false">
      <c r="A67" s="7" t="n">
        <v>2020</v>
      </c>
      <c r="B67" s="4" t="s">
        <v>10</v>
      </c>
      <c r="C67" s="0" t="n">
        <v>31.03</v>
      </c>
      <c r="D67" s="5" t="n">
        <v>76</v>
      </c>
      <c r="E67" s="0" t="n">
        <f aca="true">D67 - INDIRECT("D"&amp;(ROW()-6))</f>
        <v>18</v>
      </c>
      <c r="F67" s="6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2.8" hidden="false" customHeight="false" outlineLevel="0" collapsed="false">
      <c r="A68" s="3" t="n">
        <v>2021</v>
      </c>
      <c r="B68" s="8" t="s">
        <v>5</v>
      </c>
      <c r="C68" s="0" t="n">
        <v>333.33</v>
      </c>
      <c r="D68" s="5" t="n">
        <v>13</v>
      </c>
      <c r="E68" s="0" t="n">
        <f aca="true">D68 - INDIRECT("D"&amp;(ROW()-6))</f>
        <v>10</v>
      </c>
      <c r="F68" s="6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2.8" hidden="false" customHeight="false" outlineLevel="0" collapsed="false">
      <c r="A69" s="7" t="n">
        <v>2021</v>
      </c>
      <c r="B69" s="8" t="s">
        <v>6</v>
      </c>
      <c r="C69" s="0" t="n">
        <v>41.46</v>
      </c>
      <c r="D69" s="5" t="n">
        <v>58</v>
      </c>
      <c r="E69" s="0" t="n">
        <f aca="true">D69 - INDIRECT("D"&amp;(ROW()-6))</f>
        <v>17</v>
      </c>
      <c r="F69" s="6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2.8" hidden="false" customHeight="false" outlineLevel="0" collapsed="false">
      <c r="A70" s="7" t="n">
        <v>2021</v>
      </c>
      <c r="B70" s="8" t="s">
        <v>7</v>
      </c>
      <c r="C70" s="0" t="n">
        <v>-58.33</v>
      </c>
      <c r="D70" s="5" t="n">
        <v>15</v>
      </c>
      <c r="E70" s="0" t="n">
        <f aca="true">D70 - INDIRECT("D"&amp;(ROW()-6))</f>
        <v>-21</v>
      </c>
      <c r="F70" s="6"/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2.8" hidden="false" customHeight="false" outlineLevel="0" collapsed="false">
      <c r="A71" s="7" t="n">
        <v>2021</v>
      </c>
      <c r="B71" s="8" t="s">
        <v>8</v>
      </c>
      <c r="C71" s="0" t="n">
        <v>-80</v>
      </c>
      <c r="D71" s="5" t="n">
        <v>1</v>
      </c>
      <c r="E71" s="0" t="n">
        <f aca="true">D71 - INDIRECT("D"&amp;(ROW()-6))</f>
        <v>-4</v>
      </c>
      <c r="F71" s="6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2.8" hidden="false" customHeight="false" outlineLevel="0" collapsed="false">
      <c r="A72" s="7" t="n">
        <v>2021</v>
      </c>
      <c r="B72" s="8" t="s">
        <v>9</v>
      </c>
      <c r="C72" s="0" t="n">
        <v>-15.91</v>
      </c>
      <c r="D72" s="5" t="n">
        <v>74</v>
      </c>
      <c r="E72" s="0" t="n">
        <f aca="true">D72 - INDIRECT("D"&amp;(ROW()-6))</f>
        <v>-14</v>
      </c>
      <c r="F72" s="6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2.8" hidden="false" customHeight="false" outlineLevel="0" collapsed="false">
      <c r="A73" s="7" t="n">
        <v>2021</v>
      </c>
      <c r="B73" s="8" t="s">
        <v>10</v>
      </c>
      <c r="C73" s="0" t="n">
        <v>-18.42</v>
      </c>
      <c r="D73" s="5" t="n">
        <v>62</v>
      </c>
      <c r="E73" s="0" t="n">
        <f aca="true">D73 - INDIRECT("D"&amp;(ROW()-6))</f>
        <v>-14</v>
      </c>
      <c r="F73" s="6"/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2.8" hidden="false" customHeight="false" outlineLevel="0" collapsed="false">
      <c r="A74" s="3" t="n">
        <v>2022</v>
      </c>
      <c r="B74" s="4" t="s">
        <v>5</v>
      </c>
      <c r="C74" s="0" t="n">
        <v>0</v>
      </c>
      <c r="D74" s="5" t="n">
        <v>13</v>
      </c>
      <c r="E74" s="0" t="n">
        <f aca="true">D74 - INDIRECT("D"&amp;(ROW()-6))</f>
        <v>0</v>
      </c>
      <c r="F74" s="6"/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2.8" hidden="false" customHeight="false" outlineLevel="0" collapsed="false">
      <c r="A75" s="7" t="n">
        <v>2022</v>
      </c>
      <c r="B75" s="4" t="s">
        <v>6</v>
      </c>
      <c r="C75" s="0" t="n">
        <v>-20.69</v>
      </c>
      <c r="D75" s="5" t="n">
        <v>46</v>
      </c>
      <c r="E75" s="0" t="n">
        <f aca="true">D75 - INDIRECT("D"&amp;(ROW()-6))</f>
        <v>-12</v>
      </c>
      <c r="F75" s="6"/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2.8" hidden="false" customHeight="false" outlineLevel="0" collapsed="false">
      <c r="A76" s="7" t="n">
        <v>2022</v>
      </c>
      <c r="B76" s="4" t="s">
        <v>7</v>
      </c>
      <c r="C76" s="0" t="n">
        <v>-53.33</v>
      </c>
      <c r="D76" s="5" t="n">
        <v>7</v>
      </c>
      <c r="E76" s="0" t="n">
        <f aca="true">D76 - INDIRECT("D"&amp;(ROW()-6))</f>
        <v>-8</v>
      </c>
      <c r="F76" s="6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2.8" hidden="false" customHeight="false" outlineLevel="0" collapsed="false">
      <c r="A77" s="7" t="n">
        <v>2022</v>
      </c>
      <c r="B77" s="4" t="s">
        <v>8</v>
      </c>
      <c r="C77" s="0" t="n">
        <v>0</v>
      </c>
      <c r="D77" s="5" t="n">
        <v>1</v>
      </c>
      <c r="E77" s="0" t="n">
        <f aca="true">D77 - INDIRECT("D"&amp;(ROW()-6))</f>
        <v>0</v>
      </c>
      <c r="F77" s="6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2.8" hidden="false" customHeight="false" outlineLevel="0" collapsed="false">
      <c r="A78" s="7" t="n">
        <v>2022</v>
      </c>
      <c r="B78" s="4" t="s">
        <v>9</v>
      </c>
      <c r="C78" s="0" t="n">
        <v>-44.59</v>
      </c>
      <c r="D78" s="5" t="n">
        <v>41</v>
      </c>
      <c r="E78" s="0" t="n">
        <f aca="true">D78 - INDIRECT("D"&amp;(ROW()-6))</f>
        <v>-33</v>
      </c>
      <c r="F78" s="6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2.8" hidden="false" customHeight="false" outlineLevel="0" collapsed="false">
      <c r="A79" s="7" t="n">
        <v>2022</v>
      </c>
      <c r="B79" s="4" t="s">
        <v>10</v>
      </c>
      <c r="C79" s="0" t="n">
        <v>-33.87</v>
      </c>
      <c r="D79" s="5" t="n">
        <v>41</v>
      </c>
      <c r="E79" s="0" t="n">
        <f aca="true">D79 - INDIRECT("D"&amp;(ROW()-6))</f>
        <v>-21</v>
      </c>
      <c r="F79" s="6"/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2.8" hidden="false" customHeight="false" outlineLevel="0" collapsed="false">
      <c r="A80" s="3" t="n">
        <v>2023</v>
      </c>
      <c r="B80" s="8" t="s">
        <v>5</v>
      </c>
      <c r="C80" s="0" t="n">
        <v>53.85</v>
      </c>
      <c r="D80" s="5" t="n">
        <v>20</v>
      </c>
      <c r="E80" s="0" t="n">
        <f aca="true">D80 - INDIRECT("D"&amp;(ROW()-6))</f>
        <v>7</v>
      </c>
      <c r="F80" s="6"/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2.8" hidden="false" customHeight="false" outlineLevel="0" collapsed="false">
      <c r="A81" s="7" t="n">
        <v>2023</v>
      </c>
      <c r="B81" s="8" t="s">
        <v>6</v>
      </c>
      <c r="C81" s="0" t="n">
        <v>36.96</v>
      </c>
      <c r="D81" s="5" t="n">
        <v>63</v>
      </c>
      <c r="E81" s="0" t="n">
        <f aca="true">D81 - INDIRECT("D"&amp;(ROW()-6))</f>
        <v>17</v>
      </c>
      <c r="F81" s="6"/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2.8" hidden="false" customHeight="false" outlineLevel="0" collapsed="false">
      <c r="A82" s="7" t="n">
        <v>2023</v>
      </c>
      <c r="B82" s="8" t="s">
        <v>7</v>
      </c>
      <c r="C82" s="0" t="n">
        <v>457.14</v>
      </c>
      <c r="D82" s="5" t="n">
        <v>39</v>
      </c>
      <c r="E82" s="0" t="n">
        <f aca="true">D82 - INDIRECT("D"&amp;(ROW()-6))</f>
        <v>32</v>
      </c>
      <c r="F82" s="6"/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2.8" hidden="false" customHeight="false" outlineLevel="0" collapsed="false">
      <c r="A83" s="7" t="n">
        <v>2023</v>
      </c>
      <c r="B83" s="8" t="s">
        <v>8</v>
      </c>
      <c r="C83" s="0" t="n">
        <v>-100</v>
      </c>
      <c r="D83" s="5" t="n">
        <v>0</v>
      </c>
      <c r="E83" s="0" t="n">
        <f aca="true">D83 - INDIRECT("D"&amp;(ROW()-6))</f>
        <v>-1</v>
      </c>
      <c r="F83" s="6"/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2.8" hidden="false" customHeight="false" outlineLevel="0" collapsed="false">
      <c r="A84" s="7" t="n">
        <v>2023</v>
      </c>
      <c r="B84" s="8" t="s">
        <v>9</v>
      </c>
      <c r="C84" s="0" t="n">
        <v>-41.46</v>
      </c>
      <c r="D84" s="5" t="n">
        <v>24</v>
      </c>
      <c r="E84" s="0" t="n">
        <f aca="true">D84 - INDIRECT("D"&amp;(ROW()-6))</f>
        <v>-17</v>
      </c>
      <c r="F84" s="6"/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2.8" hidden="false" customHeight="false" outlineLevel="0" collapsed="false">
      <c r="A85" s="7" t="n">
        <v>2023</v>
      </c>
      <c r="B85" s="8" t="s">
        <v>10</v>
      </c>
      <c r="C85" s="0" t="n">
        <v>53.66</v>
      </c>
      <c r="D85" s="5" t="n">
        <v>63</v>
      </c>
      <c r="E85" s="0" t="n">
        <f aca="true">D85 - INDIRECT("D"&amp;(ROW()-6))</f>
        <v>22</v>
      </c>
      <c r="F85" s="6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2.8" hidden="false" customHeight="false" outlineLevel="0" collapsed="false">
      <c r="A86" s="3" t="n">
        <v>2024</v>
      </c>
      <c r="B86" s="4" t="s">
        <v>5</v>
      </c>
      <c r="C86" s="0" t="n">
        <v>-10</v>
      </c>
      <c r="D86" s="5" t="n">
        <v>18</v>
      </c>
      <c r="E86" s="0" t="n">
        <f aca="true">D86 - INDIRECT("D"&amp;(ROW()-6))</f>
        <v>-2</v>
      </c>
      <c r="F86" s="6"/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2.8" hidden="false" customHeight="false" outlineLevel="0" collapsed="false">
      <c r="A87" s="7" t="n">
        <v>2024</v>
      </c>
      <c r="B87" s="4" t="s">
        <v>6</v>
      </c>
      <c r="C87" s="0" t="n">
        <v>-12.7</v>
      </c>
      <c r="D87" s="5" t="n">
        <v>55</v>
      </c>
      <c r="E87" s="0" t="n">
        <f aca="true">D87 - INDIRECT("D"&amp;(ROW()-6))</f>
        <v>-8</v>
      </c>
      <c r="F87" s="6"/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2.8" hidden="false" customHeight="false" outlineLevel="0" collapsed="false">
      <c r="A88" s="7" t="n">
        <v>2024</v>
      </c>
      <c r="B88" s="4" t="s">
        <v>7</v>
      </c>
      <c r="C88" s="0" t="n">
        <v>-28.21</v>
      </c>
      <c r="D88" s="5" t="n">
        <v>28</v>
      </c>
      <c r="E88" s="0" t="n">
        <f aca="true">D88 - INDIRECT("D"&amp;(ROW()-6))</f>
        <v>-11</v>
      </c>
      <c r="F88" s="6"/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2.8" hidden="false" customHeight="false" outlineLevel="0" collapsed="false">
      <c r="A89" s="7" t="n">
        <v>2024</v>
      </c>
      <c r="B89" s="4" t="s">
        <v>8</v>
      </c>
      <c r="C89" s="0" t="n">
        <v>0</v>
      </c>
      <c r="D89" s="5" t="n">
        <v>2</v>
      </c>
      <c r="E89" s="0" t="n">
        <f aca="true">D89 - INDIRECT("D"&amp;(ROW()-6))</f>
        <v>2</v>
      </c>
      <c r="F89" s="6"/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2.8" hidden="false" customHeight="false" outlineLevel="0" collapsed="false">
      <c r="A90" s="7" t="n">
        <v>2024</v>
      </c>
      <c r="B90" s="4" t="s">
        <v>9</v>
      </c>
      <c r="C90" s="0" t="n">
        <v>-58.33</v>
      </c>
      <c r="D90" s="5" t="n">
        <v>10</v>
      </c>
      <c r="E90" s="0" t="n">
        <f aca="true">D90 - INDIRECT("D"&amp;(ROW()-6))</f>
        <v>-14</v>
      </c>
      <c r="F90" s="6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2.8" hidden="false" customHeight="false" outlineLevel="0" collapsed="false">
      <c r="A91" s="7" t="n">
        <v>2024</v>
      </c>
      <c r="B91" s="4" t="s">
        <v>10</v>
      </c>
      <c r="C91" s="0" t="n">
        <v>1.59</v>
      </c>
      <c r="D91" s="5" t="n">
        <v>64</v>
      </c>
      <c r="E91" s="0" t="n">
        <f aca="true">D91 - INDIRECT("D"&amp;(ROW()-6))</f>
        <v>1</v>
      </c>
      <c r="F91" s="6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</sheetData>
  <autoFilter ref="A1:F91"/>
  <conditionalFormatting sqref="C99:C1048576 C1:C91">
    <cfRule type="cellIs" priority="2" operator="lessThan" aboveAverage="0" equalAverage="0" bottom="0" percent="0" rank="0" text="" dxfId="9">
      <formula>0</formula>
    </cfRule>
    <cfRule type="cellIs" priority="3" operator="greaterThan" aboveAverage="0" equalAverage="0" bottom="0" percent="0" rank="0" text="" dxfId="10">
      <formula>0</formula>
    </cfRule>
  </conditionalFormatting>
  <conditionalFormatting sqref="E99:E1048576 E2:E91">
    <cfRule type="cellIs" priority="4" operator="lessThan" aboveAverage="0" equalAverage="0" bottom="0" percent="0" rank="0" text="" dxfId="10">
      <formula>0</formula>
    </cfRule>
    <cfRule type="cellIs" priority="5" operator="greaterThan" aboveAverage="0" equalAverage="0" bottom="0" percent="0" rank="0" text="" dxfId="9">
      <formula>0</formula>
    </cfRule>
  </conditionalFormatting>
  <conditionalFormatting sqref="A1:A90">
    <cfRule type="expression" priority="6" aboveAverage="0" equalAverage="0" bottom="0" percent="0" rank="0" text="" dxfId="11">
      <formula>MOD(ROW(),2)=0</formula>
    </cfRule>
  </conditionalFormatting>
  <hyperlinks>
    <hyperlink ref="G25" r:id="rId1" display="https://crimeinsight.tbi.tn.gov/top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2025-09-02T13:19:06Z</dcterms:created>
  <dc:creator/>
  <dc:description/>
  <dc:language>en-US</dc:language>
  <cp:lastModifiedBy/>
  <dcterms:modified xsi:type="dcterms:W3CDTF">2025-09-02T19:24:15Z</dcterms:modified>
  <cp:revision>3</cp:revision>
  <dc:subject/>
  <dc:title/>
</cp:coreProperties>
</file>